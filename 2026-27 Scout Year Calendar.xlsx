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ssa\Downloads\"/>
    </mc:Choice>
  </mc:AlternateContent>
  <xr:revisionPtr revIDLastSave="0" documentId="13_ncr:1_{3A9DD9D3-7E24-4DB8-8B77-78403F86B68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alendar" sheetId="1" r:id="rId1"/>
    <sheet name="Analysis" sheetId="2" r:id="rId2"/>
  </sheets>
  <definedNames>
    <definedName name="_xlnm._FilterDatabase" localSheetId="0" hidden="1">Calendar!$A$1:$E$117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</calcChain>
</file>

<file path=xl/sharedStrings.xml><?xml version="1.0" encoding="utf-8"?>
<sst xmlns="http://schemas.openxmlformats.org/spreadsheetml/2006/main" count="296" uniqueCount="65">
  <si>
    <t>Session Type</t>
  </si>
  <si>
    <t>Date</t>
  </si>
  <si>
    <t>#</t>
  </si>
  <si>
    <t>Time</t>
  </si>
  <si>
    <t>Event</t>
  </si>
  <si>
    <t>Location</t>
  </si>
  <si>
    <t>Notes</t>
  </si>
  <si>
    <t>9:00 PM - 10:30 PM</t>
  </si>
  <si>
    <t>Dhulfiqār Leader Meeting (EC or GA)</t>
  </si>
  <si>
    <t>TBD</t>
  </si>
  <si>
    <t>6:00 PM - 8:00 PM</t>
  </si>
  <si>
    <t>Parent Open House</t>
  </si>
  <si>
    <t>10:00 AM - 2:00 PM</t>
  </si>
  <si>
    <t>Onsite Uniform Ordering &amp; BSA Applications</t>
  </si>
  <si>
    <t>Hype Athletics</t>
  </si>
  <si>
    <t>8:00 PM - 10:30 PM</t>
  </si>
  <si>
    <t>Leader Orientation</t>
  </si>
  <si>
    <t>Is this needed if we have the retreat?</t>
  </si>
  <si>
    <t>Leader Retreat/Camp</t>
  </si>
  <si>
    <t>All day</t>
  </si>
  <si>
    <t>6:30 PM - 9:00 PM</t>
  </si>
  <si>
    <t>Dhulfiqār Scouting Program</t>
  </si>
  <si>
    <t>First</t>
  </si>
  <si>
    <t>7:30 PM - 8:30 PM</t>
  </si>
  <si>
    <t>Dhulfiqār Youth Program</t>
  </si>
  <si>
    <t>Youth Majlis Martyrdom Sayyidah Fatemah (as)</t>
  </si>
  <si>
    <t>5:00 PM</t>
  </si>
  <si>
    <t>Dhulfiqār Scout Camp</t>
  </si>
  <si>
    <t>1:30 PM</t>
  </si>
  <si>
    <t>NO Dhulfiqār Scouting Program</t>
  </si>
  <si>
    <t>(Fall Holiday (Thanksgiving))</t>
  </si>
  <si>
    <t>Birth of Sy. Fatimah (as)</t>
  </si>
  <si>
    <t>Dhulfiqār Parent-Leader Conferences</t>
  </si>
  <si>
    <t>NO Dhulfiqār Youth Program</t>
  </si>
  <si>
    <t>(Winter Break)</t>
  </si>
  <si>
    <t>Winter Break/Sirat Conference</t>
  </si>
  <si>
    <t>(Winter Break/Sirat Conference)</t>
  </si>
  <si>
    <t>Sirat Conference Dec 29 - Jan 2</t>
  </si>
  <si>
    <t>Birth of Imam Ali (as)
Resumes after Winter Break/Sirat Conference</t>
  </si>
  <si>
    <t>8:00 AM - 3:00 PM</t>
  </si>
  <si>
    <t>Merit Badge Mania</t>
  </si>
  <si>
    <t>TBC</t>
  </si>
  <si>
    <t>Birth of Sy. Zainab (as)</t>
  </si>
  <si>
    <t>Birth of Imam Hussain, Al-'Abbas, Imam Sajjad (as)</t>
  </si>
  <si>
    <t>Birth of Imam Mahdi (aj)</t>
  </si>
  <si>
    <t>Ramadan Prep</t>
  </si>
  <si>
    <t>Shahr Ramadan (starts ~the 8th)</t>
  </si>
  <si>
    <t>Shahr Ramadan</t>
  </si>
  <si>
    <t>Scout Family Potluck Ifṭār</t>
  </si>
  <si>
    <t>Youth Majlis Martyrdom Imam Ali (as)
Note: 21 Ramaḍān fell Sun Feb 28, 2027 -- observed nearest Tuesday</t>
  </si>
  <si>
    <t>Scout-only Iftar</t>
  </si>
  <si>
    <t>Number of distinct weeks</t>
  </si>
  <si>
    <t>Eid ul-Fiṭr</t>
  </si>
  <si>
    <t>(Spring Break)
(Good Friday (District Closed))</t>
  </si>
  <si>
    <t>Confirmed: Crestwood School District Spring Break (Mar 29 - Apr 2, 2027)</t>
  </si>
  <si>
    <t>Birth of Imam Al-Ridha (as)</t>
  </si>
  <si>
    <t>Tentative tent camp</t>
  </si>
  <si>
    <t>(Projected Eid al-Adha Holiday, per district)</t>
  </si>
  <si>
    <t>Eid Al-Ghadīr Celebration</t>
  </si>
  <si>
    <t>Last normal program day</t>
  </si>
  <si>
    <t>Eid al-Adha (10 Dhūl-Ḥijjah)</t>
  </si>
  <si>
    <t>Year-end celebration
Tentative -- 1st Friday of June. Alternate: Jun 11 (2nd Friday, also district's last day of school)</t>
  </si>
  <si>
    <t>27112 N Pleasant Ridge 
Dearborn Heights, MI 48127</t>
  </si>
  <si>
    <t>D' BAR A</t>
  </si>
  <si>
    <t>Highview Elementary School25225 Richardson St, Dearborn Heights, MI 48127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</si>
</sst>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&quot;, &quot;yyyy"/>
  </numFmts>
  <fonts count="7" x14ac:knownFonts="1">
    <font>
      <sz val="11"/>
      <color theme="1"/>
      <name val="Calibri"/>
      <scheme val="minor"/>
    </font>
    <font>
      <b/>
      <sz val="11"/>
      <color theme="1"/>
      <name val="EB Garamond"/>
    </font>
    <font>
      <b/>
      <sz val="12"/>
      <color rgb="FFFFFFFF"/>
      <name val="EB Garamond"/>
    </font>
    <font>
      <sz val="12"/>
      <color theme="1"/>
      <name val="EB Garamond"/>
    </font>
    <font>
      <sz val="10"/>
      <color theme="1"/>
      <name val="EB Garamond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18" fontId="3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164" fontId="3" fillId="3" borderId="2" xfId="0" applyNumberFormat="1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6" fillId="3" borderId="2" xfId="0" applyFont="1" applyFill="1" applyBorder="1"/>
  </cellXfs>
  <cellStyles count="1">
    <cellStyle name="Normal" xfId="0" builtinId="0"/>
  </cellStyles>
  <dxfs count="6">
    <dxf>
      <fill>
        <patternFill patternType="solid">
          <fgColor rgb="FFF79646"/>
          <bgColor rgb="FFF7964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BBB59"/>
          <bgColor rgb="FF9BBB5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workbookViewId="0">
      <pane ySplit="1" topLeftCell="A99" activePane="bottomLeft" state="frozen"/>
      <selection pane="bottomLeft" activeCell="F13" sqref="F13"/>
    </sheetView>
  </sheetViews>
  <sheetFormatPr defaultColWidth="14.42578125" defaultRowHeight="15" customHeight="1" x14ac:dyDescent="0.25"/>
  <cols>
    <col min="1" max="1" width="30.42578125" customWidth="1"/>
    <col min="2" max="2" width="21.42578125" customWidth="1"/>
    <col min="3" max="3" width="42" customWidth="1"/>
    <col min="4" max="4" width="30" customWidth="1"/>
    <col min="5" max="5" width="34" customWidth="1"/>
  </cols>
  <sheetData>
    <row r="1" spans="1:5" ht="15.75" x14ac:dyDescent="0.25">
      <c r="A1" s="2" t="s">
        <v>1</v>
      </c>
      <c r="B1" s="4" t="s">
        <v>3</v>
      </c>
      <c r="C1" s="5" t="s">
        <v>4</v>
      </c>
      <c r="D1" s="4" t="s">
        <v>5</v>
      </c>
      <c r="E1" s="5" t="s">
        <v>6</v>
      </c>
    </row>
    <row r="2" spans="1:5" ht="18.75" x14ac:dyDescent="0.25">
      <c r="A2" s="6">
        <v>46277</v>
      </c>
      <c r="B2" s="7" t="s">
        <v>10</v>
      </c>
      <c r="C2" s="8" t="s">
        <v>11</v>
      </c>
      <c r="D2" s="8" t="s">
        <v>9</v>
      </c>
      <c r="E2" s="8"/>
    </row>
    <row r="3" spans="1:5" ht="37.5" x14ac:dyDescent="0.25">
      <c r="A3" s="6">
        <v>46278</v>
      </c>
      <c r="B3" s="7" t="s">
        <v>12</v>
      </c>
      <c r="C3" s="8" t="s">
        <v>13</v>
      </c>
      <c r="D3" s="8" t="s">
        <v>14</v>
      </c>
      <c r="E3" s="8"/>
    </row>
    <row r="4" spans="1:5" ht="37.5" x14ac:dyDescent="0.25">
      <c r="A4" s="6">
        <v>46279</v>
      </c>
      <c r="B4" s="7" t="s">
        <v>7</v>
      </c>
      <c r="C4" s="8" t="s">
        <v>8</v>
      </c>
      <c r="D4" s="8" t="s">
        <v>62</v>
      </c>
      <c r="E4" s="8"/>
    </row>
    <row r="5" spans="1:5" ht="18.75" x14ac:dyDescent="0.25">
      <c r="A5" s="6">
        <v>46286</v>
      </c>
      <c r="B5" s="7" t="s">
        <v>15</v>
      </c>
      <c r="C5" s="8" t="s">
        <v>16</v>
      </c>
      <c r="D5" s="8" t="s">
        <v>9</v>
      </c>
      <c r="E5" s="8" t="s">
        <v>17</v>
      </c>
    </row>
    <row r="6" spans="1:5" ht="18.75" x14ac:dyDescent="0.25">
      <c r="A6" s="6">
        <v>46290</v>
      </c>
      <c r="B6" s="10">
        <v>0.79166666666666663</v>
      </c>
      <c r="C6" s="8" t="s">
        <v>18</v>
      </c>
      <c r="D6" s="8" t="s">
        <v>9</v>
      </c>
      <c r="E6" s="8"/>
    </row>
    <row r="7" spans="1:5" ht="18.75" x14ac:dyDescent="0.25">
      <c r="A7" s="6">
        <v>46291</v>
      </c>
      <c r="B7" s="7" t="s">
        <v>19</v>
      </c>
      <c r="C7" s="8" t="s">
        <v>18</v>
      </c>
      <c r="D7" s="8" t="s">
        <v>9</v>
      </c>
      <c r="E7" s="8"/>
    </row>
    <row r="8" spans="1:5" ht="18.75" x14ac:dyDescent="0.25">
      <c r="A8" s="6">
        <v>46292</v>
      </c>
      <c r="B8" s="10">
        <v>0.5</v>
      </c>
      <c r="C8" s="8" t="s">
        <v>18</v>
      </c>
      <c r="D8" s="8" t="s">
        <v>9</v>
      </c>
      <c r="E8" s="8"/>
    </row>
    <row r="9" spans="1:5" ht="37.5" x14ac:dyDescent="0.25">
      <c r="A9" s="6">
        <v>46293</v>
      </c>
      <c r="B9" s="7" t="s">
        <v>7</v>
      </c>
      <c r="C9" s="8" t="s">
        <v>8</v>
      </c>
      <c r="D9" s="8" t="s">
        <v>62</v>
      </c>
      <c r="E9" s="8"/>
    </row>
    <row r="10" spans="1:5" ht="18.75" x14ac:dyDescent="0.25">
      <c r="A10" s="6">
        <v>46297</v>
      </c>
      <c r="B10" s="7" t="s">
        <v>20</v>
      </c>
      <c r="C10" s="8" t="s">
        <v>21</v>
      </c>
      <c r="D10" s="8"/>
      <c r="E10" s="8" t="s">
        <v>22</v>
      </c>
    </row>
    <row r="11" spans="1:5" ht="37.5" x14ac:dyDescent="0.25">
      <c r="A11" s="6">
        <v>46300</v>
      </c>
      <c r="B11" s="7" t="s">
        <v>7</v>
      </c>
      <c r="C11" s="8" t="s">
        <v>8</v>
      </c>
      <c r="D11" s="8" t="s">
        <v>62</v>
      </c>
      <c r="E11" s="8"/>
    </row>
    <row r="12" spans="1:5" ht="56.25" x14ac:dyDescent="0.25">
      <c r="A12" s="6">
        <v>46301</v>
      </c>
      <c r="B12" s="7" t="s">
        <v>23</v>
      </c>
      <c r="C12" s="8" t="s">
        <v>24</v>
      </c>
      <c r="D12" s="8" t="s">
        <v>64</v>
      </c>
      <c r="E12" s="8" t="s">
        <v>22</v>
      </c>
    </row>
    <row r="13" spans="1:5" ht="56.25" x14ac:dyDescent="0.25">
      <c r="A13" s="6">
        <v>46304</v>
      </c>
      <c r="B13" s="7" t="s">
        <v>20</v>
      </c>
      <c r="C13" s="8" t="s">
        <v>21</v>
      </c>
      <c r="D13" s="8" t="s">
        <v>64</v>
      </c>
      <c r="E13" s="8"/>
    </row>
    <row r="14" spans="1:5" ht="37.5" x14ac:dyDescent="0.25">
      <c r="A14" s="6">
        <v>46307</v>
      </c>
      <c r="B14" s="7" t="s">
        <v>7</v>
      </c>
      <c r="C14" s="8" t="s">
        <v>8</v>
      </c>
      <c r="D14" s="8" t="s">
        <v>62</v>
      </c>
      <c r="E14" s="8"/>
    </row>
    <row r="15" spans="1:5" ht="18.75" x14ac:dyDescent="0.25">
      <c r="A15" s="6">
        <v>46308</v>
      </c>
      <c r="B15" s="7" t="s">
        <v>23</v>
      </c>
      <c r="C15" s="8" t="s">
        <v>24</v>
      </c>
      <c r="D15" s="8"/>
      <c r="E15" s="8"/>
    </row>
    <row r="16" spans="1:5" ht="18.75" x14ac:dyDescent="0.25">
      <c r="A16" s="6">
        <v>46311</v>
      </c>
      <c r="B16" s="7" t="s">
        <v>20</v>
      </c>
      <c r="C16" s="8" t="s">
        <v>21</v>
      </c>
      <c r="D16" s="8"/>
      <c r="E16" s="8"/>
    </row>
    <row r="17" spans="1:5" ht="37.5" x14ac:dyDescent="0.25">
      <c r="A17" s="6">
        <v>46314</v>
      </c>
      <c r="B17" s="7" t="s">
        <v>7</v>
      </c>
      <c r="C17" s="8" t="s">
        <v>8</v>
      </c>
      <c r="D17" s="8" t="s">
        <v>62</v>
      </c>
      <c r="E17" s="8"/>
    </row>
    <row r="18" spans="1:5" ht="37.5" x14ac:dyDescent="0.25">
      <c r="A18" s="6">
        <v>46315</v>
      </c>
      <c r="B18" s="7" t="s">
        <v>23</v>
      </c>
      <c r="C18" s="8" t="s">
        <v>24</v>
      </c>
      <c r="D18" s="8"/>
      <c r="E18" s="8" t="s">
        <v>25</v>
      </c>
    </row>
    <row r="19" spans="1:5" ht="18.75" x14ac:dyDescent="0.25">
      <c r="A19" s="6">
        <v>46318</v>
      </c>
      <c r="B19" s="7" t="s">
        <v>20</v>
      </c>
      <c r="C19" s="8" t="s">
        <v>21</v>
      </c>
      <c r="D19" s="8"/>
      <c r="E19" s="8"/>
    </row>
    <row r="20" spans="1:5" ht="37.5" x14ac:dyDescent="0.25">
      <c r="A20" s="6">
        <v>46321</v>
      </c>
      <c r="B20" s="7" t="s">
        <v>7</v>
      </c>
      <c r="C20" s="8" t="s">
        <v>8</v>
      </c>
      <c r="D20" s="8" t="s">
        <v>62</v>
      </c>
      <c r="E20" s="8"/>
    </row>
    <row r="21" spans="1:5" ht="15.75" customHeight="1" x14ac:dyDescent="0.25">
      <c r="A21" s="6">
        <v>46322</v>
      </c>
      <c r="B21" s="7" t="s">
        <v>23</v>
      </c>
      <c r="C21" s="8" t="s">
        <v>24</v>
      </c>
      <c r="D21" s="8"/>
      <c r="E21" s="8"/>
    </row>
    <row r="22" spans="1:5" ht="15.75" customHeight="1" x14ac:dyDescent="0.25">
      <c r="A22" s="6">
        <v>46325</v>
      </c>
      <c r="B22" s="7" t="s">
        <v>26</v>
      </c>
      <c r="C22" s="8" t="s">
        <v>27</v>
      </c>
      <c r="D22" s="8" t="s">
        <v>63</v>
      </c>
      <c r="E22" s="8"/>
    </row>
    <row r="23" spans="1:5" ht="15.75" customHeight="1" x14ac:dyDescent="0.25">
      <c r="A23" s="6">
        <v>46326</v>
      </c>
      <c r="B23" s="7" t="s">
        <v>19</v>
      </c>
      <c r="C23" s="8" t="s">
        <v>27</v>
      </c>
      <c r="D23" s="8" t="s">
        <v>63</v>
      </c>
      <c r="E23" s="8"/>
    </row>
    <row r="24" spans="1:5" ht="15.75" customHeight="1" x14ac:dyDescent="0.25">
      <c r="A24" s="6">
        <v>46327</v>
      </c>
      <c r="B24" s="7" t="s">
        <v>28</v>
      </c>
      <c r="C24" s="8" t="s">
        <v>27</v>
      </c>
      <c r="D24" s="8" t="s">
        <v>63</v>
      </c>
      <c r="E24" s="8"/>
    </row>
    <row r="25" spans="1:5" ht="37.5" x14ac:dyDescent="0.25">
      <c r="A25" s="6">
        <v>46328</v>
      </c>
      <c r="B25" s="7" t="s">
        <v>7</v>
      </c>
      <c r="C25" s="8" t="s">
        <v>8</v>
      </c>
      <c r="D25" s="8" t="s">
        <v>62</v>
      </c>
      <c r="E25" s="8"/>
    </row>
    <row r="26" spans="1:5" ht="15.75" customHeight="1" x14ac:dyDescent="0.25">
      <c r="A26" s="6">
        <v>46329</v>
      </c>
      <c r="B26" s="7" t="s">
        <v>23</v>
      </c>
      <c r="C26" s="8" t="s">
        <v>24</v>
      </c>
      <c r="D26" s="8"/>
      <c r="E26" s="8"/>
    </row>
    <row r="27" spans="1:5" ht="15.75" customHeight="1" x14ac:dyDescent="0.25">
      <c r="A27" s="6">
        <v>46332</v>
      </c>
      <c r="B27" s="7" t="s">
        <v>20</v>
      </c>
      <c r="C27" s="8" t="s">
        <v>21</v>
      </c>
      <c r="D27" s="8"/>
      <c r="E27" s="8"/>
    </row>
    <row r="28" spans="1:5" ht="15.75" customHeight="1" x14ac:dyDescent="0.25">
      <c r="A28" s="6">
        <v>46335</v>
      </c>
      <c r="B28" s="7" t="s">
        <v>7</v>
      </c>
      <c r="C28" s="8" t="s">
        <v>8</v>
      </c>
      <c r="D28" s="8" t="s">
        <v>9</v>
      </c>
      <c r="E28" s="8"/>
    </row>
    <row r="29" spans="1:5" ht="15.75" customHeight="1" x14ac:dyDescent="0.25">
      <c r="A29" s="6">
        <v>46336</v>
      </c>
      <c r="B29" s="7" t="s">
        <v>23</v>
      </c>
      <c r="C29" s="8" t="s">
        <v>24</v>
      </c>
      <c r="D29" s="8"/>
      <c r="E29" s="8"/>
    </row>
    <row r="30" spans="1:5" ht="15.75" customHeight="1" x14ac:dyDescent="0.25">
      <c r="A30" s="6">
        <v>46339</v>
      </c>
      <c r="B30" s="7" t="s">
        <v>20</v>
      </c>
      <c r="C30" s="8" t="s">
        <v>21</v>
      </c>
      <c r="D30" s="8"/>
      <c r="E30" s="8"/>
    </row>
    <row r="31" spans="1:5" ht="15.75" customHeight="1" x14ac:dyDescent="0.25">
      <c r="A31" s="6">
        <v>46342</v>
      </c>
      <c r="B31" s="7" t="s">
        <v>7</v>
      </c>
      <c r="C31" s="8" t="s">
        <v>8</v>
      </c>
      <c r="D31" s="8" t="s">
        <v>9</v>
      </c>
      <c r="E31" s="8"/>
    </row>
    <row r="32" spans="1:5" ht="15.75" customHeight="1" x14ac:dyDescent="0.25">
      <c r="A32" s="6">
        <v>46343</v>
      </c>
      <c r="B32" s="7" t="s">
        <v>23</v>
      </c>
      <c r="C32" s="8" t="s">
        <v>24</v>
      </c>
      <c r="D32" s="8"/>
      <c r="E32" s="8"/>
    </row>
    <row r="33" spans="1:5" ht="15.75" customHeight="1" x14ac:dyDescent="0.25">
      <c r="A33" s="6">
        <v>46346</v>
      </c>
      <c r="B33" s="7" t="s">
        <v>20</v>
      </c>
      <c r="C33" s="8" t="s">
        <v>21</v>
      </c>
      <c r="D33" s="8"/>
      <c r="E33" s="8"/>
    </row>
    <row r="34" spans="1:5" ht="15.75" customHeight="1" x14ac:dyDescent="0.25">
      <c r="A34" s="6">
        <v>46349</v>
      </c>
      <c r="B34" s="7" t="s">
        <v>7</v>
      </c>
      <c r="C34" s="8" t="s">
        <v>8</v>
      </c>
      <c r="D34" s="8" t="s">
        <v>9</v>
      </c>
      <c r="E34" s="8"/>
    </row>
    <row r="35" spans="1:5" ht="15.75" customHeight="1" x14ac:dyDescent="0.25">
      <c r="A35" s="6">
        <v>46350</v>
      </c>
      <c r="B35" s="7" t="s">
        <v>23</v>
      </c>
      <c r="C35" s="8" t="s">
        <v>24</v>
      </c>
      <c r="D35" s="8"/>
      <c r="E35" s="8"/>
    </row>
    <row r="36" spans="1:5" ht="15.75" customHeight="1" x14ac:dyDescent="0.25">
      <c r="A36" s="6">
        <v>46353</v>
      </c>
      <c r="B36" s="7"/>
      <c r="C36" s="8" t="s">
        <v>29</v>
      </c>
      <c r="D36" s="8"/>
      <c r="E36" s="8" t="s">
        <v>30</v>
      </c>
    </row>
    <row r="37" spans="1:5" ht="15.75" customHeight="1" x14ac:dyDescent="0.25">
      <c r="A37" s="6">
        <v>46356</v>
      </c>
      <c r="B37" s="7" t="s">
        <v>7</v>
      </c>
      <c r="C37" s="8" t="s">
        <v>8</v>
      </c>
      <c r="D37" s="8" t="s">
        <v>9</v>
      </c>
      <c r="E37" s="8"/>
    </row>
    <row r="38" spans="1:5" ht="15.75" customHeight="1" x14ac:dyDescent="0.25">
      <c r="A38" s="6">
        <v>46357</v>
      </c>
      <c r="B38" s="7" t="s">
        <v>23</v>
      </c>
      <c r="C38" s="8" t="s">
        <v>24</v>
      </c>
      <c r="D38" s="8"/>
      <c r="E38" s="8"/>
    </row>
    <row r="39" spans="1:5" ht="15.75" customHeight="1" x14ac:dyDescent="0.25">
      <c r="A39" s="6">
        <v>46360</v>
      </c>
      <c r="B39" s="7" t="s">
        <v>20</v>
      </c>
      <c r="C39" s="8" t="s">
        <v>21</v>
      </c>
      <c r="D39" s="8"/>
      <c r="E39" s="8" t="s">
        <v>31</v>
      </c>
    </row>
    <row r="40" spans="1:5" ht="15.75" customHeight="1" x14ac:dyDescent="0.25">
      <c r="A40" s="6">
        <v>46363</v>
      </c>
      <c r="B40" s="7" t="s">
        <v>7</v>
      </c>
      <c r="C40" s="8" t="s">
        <v>8</v>
      </c>
      <c r="D40" s="8" t="s">
        <v>9</v>
      </c>
      <c r="E40" s="8"/>
    </row>
    <row r="41" spans="1:5" ht="15.75" customHeight="1" x14ac:dyDescent="0.25">
      <c r="A41" s="6">
        <v>46364</v>
      </c>
      <c r="B41" s="7" t="s">
        <v>23</v>
      </c>
      <c r="C41" s="8" t="s">
        <v>24</v>
      </c>
      <c r="D41" s="8"/>
      <c r="E41" s="8"/>
    </row>
    <row r="42" spans="1:5" ht="15.75" customHeight="1" x14ac:dyDescent="0.25">
      <c r="A42" s="6">
        <v>46367</v>
      </c>
      <c r="B42" s="7" t="s">
        <v>20</v>
      </c>
      <c r="C42" s="8" t="s">
        <v>21</v>
      </c>
      <c r="D42" s="8"/>
      <c r="E42" s="8"/>
    </row>
    <row r="43" spans="1:5" ht="15.75" customHeight="1" x14ac:dyDescent="0.25">
      <c r="A43" s="6">
        <v>46370</v>
      </c>
      <c r="B43" s="7" t="s">
        <v>7</v>
      </c>
      <c r="C43" s="8" t="s">
        <v>8</v>
      </c>
      <c r="D43" s="8" t="s">
        <v>9</v>
      </c>
      <c r="E43" s="8"/>
    </row>
    <row r="44" spans="1:5" ht="15.75" customHeight="1" x14ac:dyDescent="0.25">
      <c r="A44" s="6">
        <v>46371</v>
      </c>
      <c r="B44" s="7" t="s">
        <v>23</v>
      </c>
      <c r="C44" s="8" t="s">
        <v>24</v>
      </c>
      <c r="D44" s="8"/>
      <c r="E44" s="8"/>
    </row>
    <row r="45" spans="1:5" ht="15.75" customHeight="1" x14ac:dyDescent="0.25">
      <c r="A45" s="6">
        <v>46374</v>
      </c>
      <c r="B45" s="7" t="s">
        <v>20</v>
      </c>
      <c r="C45" s="8" t="s">
        <v>21</v>
      </c>
      <c r="D45" s="8"/>
      <c r="E45" s="8"/>
    </row>
    <row r="46" spans="1:5" ht="15.75" customHeight="1" x14ac:dyDescent="0.25">
      <c r="A46" s="6">
        <v>46381</v>
      </c>
      <c r="B46" s="7" t="s">
        <v>20</v>
      </c>
      <c r="C46" s="8" t="s">
        <v>32</v>
      </c>
      <c r="D46" s="8"/>
      <c r="E46" s="8"/>
    </row>
    <row r="47" spans="1:5" ht="15.75" customHeight="1" x14ac:dyDescent="0.25">
      <c r="A47" s="6">
        <v>46378</v>
      </c>
      <c r="B47" s="7"/>
      <c r="C47" s="8" t="s">
        <v>33</v>
      </c>
      <c r="D47" s="8"/>
      <c r="E47" s="8" t="s">
        <v>34</v>
      </c>
    </row>
    <row r="48" spans="1:5" ht="15.75" customHeight="1" x14ac:dyDescent="0.25">
      <c r="A48" s="6">
        <v>46381</v>
      </c>
      <c r="B48" s="7"/>
      <c r="C48" s="8" t="s">
        <v>29</v>
      </c>
      <c r="D48" s="8"/>
      <c r="E48" s="8" t="s">
        <v>34</v>
      </c>
    </row>
    <row r="49" spans="1:5" ht="15.75" customHeight="1" x14ac:dyDescent="0.25">
      <c r="A49" s="6">
        <v>46385</v>
      </c>
      <c r="B49" s="7"/>
      <c r="C49" s="8" t="s">
        <v>33</v>
      </c>
      <c r="D49" s="8"/>
      <c r="E49" s="8" t="s">
        <v>35</v>
      </c>
    </row>
    <row r="50" spans="1:5" ht="15.75" customHeight="1" x14ac:dyDescent="0.25">
      <c r="A50" s="6">
        <v>46388</v>
      </c>
      <c r="B50" s="7"/>
      <c r="C50" s="8" t="s">
        <v>29</v>
      </c>
      <c r="D50" s="8"/>
      <c r="E50" s="8" t="s">
        <v>36</v>
      </c>
    </row>
    <row r="51" spans="1:5" ht="15.75" customHeight="1" x14ac:dyDescent="0.25">
      <c r="A51" s="6">
        <v>46391</v>
      </c>
      <c r="B51" s="7" t="s">
        <v>7</v>
      </c>
      <c r="C51" s="8" t="s">
        <v>8</v>
      </c>
      <c r="D51" s="8" t="s">
        <v>9</v>
      </c>
      <c r="E51" s="8"/>
    </row>
    <row r="52" spans="1:5" ht="15.75" customHeight="1" x14ac:dyDescent="0.25">
      <c r="A52" s="6">
        <v>46392</v>
      </c>
      <c r="B52" s="7"/>
      <c r="C52" s="8" t="s">
        <v>33</v>
      </c>
      <c r="D52" s="8"/>
      <c r="E52" s="8" t="s">
        <v>37</v>
      </c>
    </row>
    <row r="53" spans="1:5" ht="15.75" customHeight="1" x14ac:dyDescent="0.25">
      <c r="A53" s="6">
        <v>46395</v>
      </c>
      <c r="B53" s="7" t="s">
        <v>20</v>
      </c>
      <c r="C53" s="8" t="s">
        <v>21</v>
      </c>
      <c r="D53" s="8"/>
      <c r="E53" s="8" t="s">
        <v>38</v>
      </c>
    </row>
    <row r="54" spans="1:5" ht="15.75" customHeight="1" x14ac:dyDescent="0.25">
      <c r="A54" s="6">
        <v>46396</v>
      </c>
      <c r="B54" s="7" t="s">
        <v>39</v>
      </c>
      <c r="C54" s="8" t="s">
        <v>40</v>
      </c>
      <c r="D54" s="8"/>
      <c r="E54" s="8" t="s">
        <v>41</v>
      </c>
    </row>
    <row r="55" spans="1:5" ht="15.75" customHeight="1" x14ac:dyDescent="0.25">
      <c r="A55" s="6">
        <v>46398</v>
      </c>
      <c r="B55" s="7" t="s">
        <v>7</v>
      </c>
      <c r="C55" s="8" t="s">
        <v>8</v>
      </c>
      <c r="D55" s="8" t="s">
        <v>9</v>
      </c>
      <c r="E55" s="8"/>
    </row>
    <row r="56" spans="1:5" ht="15.75" customHeight="1" x14ac:dyDescent="0.25">
      <c r="A56" s="6">
        <v>46399</v>
      </c>
      <c r="B56" s="7" t="s">
        <v>23</v>
      </c>
      <c r="C56" s="8" t="s">
        <v>24</v>
      </c>
      <c r="D56" s="8"/>
      <c r="E56" s="8" t="s">
        <v>42</v>
      </c>
    </row>
    <row r="57" spans="1:5" ht="15.75" customHeight="1" x14ac:dyDescent="0.25">
      <c r="A57" s="6">
        <v>46402</v>
      </c>
      <c r="B57" s="7" t="s">
        <v>20</v>
      </c>
      <c r="C57" s="8" t="s">
        <v>21</v>
      </c>
      <c r="D57" s="8"/>
      <c r="E57" s="8" t="s">
        <v>43</v>
      </c>
    </row>
    <row r="58" spans="1:5" ht="15.75" customHeight="1" x14ac:dyDescent="0.25">
      <c r="A58" s="6">
        <v>46406</v>
      </c>
      <c r="B58" s="7" t="s">
        <v>23</v>
      </c>
      <c r="C58" s="8" t="s">
        <v>24</v>
      </c>
      <c r="D58" s="8"/>
      <c r="E58" s="8"/>
    </row>
    <row r="59" spans="1:5" ht="15.75" customHeight="1" x14ac:dyDescent="0.25">
      <c r="A59" s="6">
        <v>46409</v>
      </c>
      <c r="B59" s="7" t="s">
        <v>20</v>
      </c>
      <c r="C59" s="8" t="s">
        <v>21</v>
      </c>
      <c r="D59" s="8"/>
      <c r="E59" s="8"/>
    </row>
    <row r="60" spans="1:5" ht="15.75" customHeight="1" x14ac:dyDescent="0.25">
      <c r="A60" s="6">
        <v>46412</v>
      </c>
      <c r="B60" s="7" t="s">
        <v>7</v>
      </c>
      <c r="C60" s="8" t="s">
        <v>8</v>
      </c>
      <c r="D60" s="8" t="s">
        <v>9</v>
      </c>
      <c r="E60" s="8"/>
    </row>
    <row r="61" spans="1:5" ht="15.75" customHeight="1" x14ac:dyDescent="0.25">
      <c r="A61" s="6">
        <v>46413</v>
      </c>
      <c r="B61" s="7" t="s">
        <v>9</v>
      </c>
      <c r="C61" s="8" t="s">
        <v>24</v>
      </c>
      <c r="D61" s="8"/>
      <c r="E61" s="8" t="s">
        <v>44</v>
      </c>
    </row>
    <row r="62" spans="1:5" ht="15.75" customHeight="1" x14ac:dyDescent="0.25">
      <c r="A62" s="6">
        <v>46416</v>
      </c>
      <c r="B62" s="7" t="s">
        <v>20</v>
      </c>
      <c r="C62" s="8" t="s">
        <v>21</v>
      </c>
      <c r="D62" s="8"/>
      <c r="E62" s="8" t="s">
        <v>44</v>
      </c>
    </row>
    <row r="63" spans="1:5" ht="15.75" customHeight="1" x14ac:dyDescent="0.25">
      <c r="A63" s="6">
        <v>46419</v>
      </c>
      <c r="B63" s="7" t="s">
        <v>7</v>
      </c>
      <c r="C63" s="8" t="s">
        <v>8</v>
      </c>
      <c r="D63" s="8" t="s">
        <v>9</v>
      </c>
      <c r="E63" s="8"/>
    </row>
    <row r="64" spans="1:5" ht="15.75" customHeight="1" x14ac:dyDescent="0.25">
      <c r="A64" s="6">
        <v>46420</v>
      </c>
      <c r="B64" s="7" t="s">
        <v>23</v>
      </c>
      <c r="C64" s="8" t="s">
        <v>24</v>
      </c>
      <c r="D64" s="8"/>
      <c r="E64" s="8"/>
    </row>
    <row r="65" spans="1:5" ht="15.75" customHeight="1" x14ac:dyDescent="0.25">
      <c r="A65" s="6">
        <v>46423</v>
      </c>
      <c r="B65" s="7" t="s">
        <v>26</v>
      </c>
      <c r="C65" s="8" t="s">
        <v>27</v>
      </c>
      <c r="D65" s="8"/>
      <c r="E65" s="8"/>
    </row>
    <row r="66" spans="1:5" ht="15.75" customHeight="1" x14ac:dyDescent="0.25">
      <c r="A66" s="6">
        <v>46424</v>
      </c>
      <c r="B66" s="7" t="s">
        <v>19</v>
      </c>
      <c r="C66" s="8" t="s">
        <v>27</v>
      </c>
      <c r="D66" s="8"/>
      <c r="E66" s="8"/>
    </row>
    <row r="67" spans="1:5" ht="15.75" customHeight="1" x14ac:dyDescent="0.25">
      <c r="A67" s="6">
        <v>46425</v>
      </c>
      <c r="B67" s="7" t="s">
        <v>28</v>
      </c>
      <c r="C67" s="8" t="s">
        <v>27</v>
      </c>
      <c r="D67" s="8"/>
      <c r="E67" s="8" t="s">
        <v>45</v>
      </c>
    </row>
    <row r="68" spans="1:5" ht="15.75" customHeight="1" x14ac:dyDescent="0.25">
      <c r="A68" s="6">
        <v>46426</v>
      </c>
      <c r="B68" s="7" t="s">
        <v>7</v>
      </c>
      <c r="C68" s="8" t="s">
        <v>8</v>
      </c>
      <c r="D68" s="8" t="s">
        <v>9</v>
      </c>
      <c r="E68" s="8"/>
    </row>
    <row r="69" spans="1:5" ht="15.75" customHeight="1" x14ac:dyDescent="0.25">
      <c r="A69" s="6">
        <v>46427</v>
      </c>
      <c r="B69" s="7"/>
      <c r="C69" s="8" t="s">
        <v>33</v>
      </c>
      <c r="D69" s="8"/>
      <c r="E69" s="8" t="s">
        <v>46</v>
      </c>
    </row>
    <row r="70" spans="1:5" ht="15.75" customHeight="1" x14ac:dyDescent="0.25">
      <c r="A70" s="6">
        <v>46430</v>
      </c>
      <c r="B70" s="7"/>
      <c r="C70" s="8" t="s">
        <v>29</v>
      </c>
      <c r="D70" s="8"/>
      <c r="E70" s="8" t="s">
        <v>47</v>
      </c>
    </row>
    <row r="71" spans="1:5" ht="15.75" customHeight="1" x14ac:dyDescent="0.25">
      <c r="A71" s="6">
        <v>46434</v>
      </c>
      <c r="B71" s="7"/>
      <c r="C71" s="8" t="s">
        <v>33</v>
      </c>
      <c r="D71" s="8"/>
      <c r="E71" s="8" t="s">
        <v>47</v>
      </c>
    </row>
    <row r="72" spans="1:5" ht="15.75" customHeight="1" x14ac:dyDescent="0.25">
      <c r="A72" s="6">
        <v>46437</v>
      </c>
      <c r="B72" s="7"/>
      <c r="C72" s="8" t="s">
        <v>29</v>
      </c>
      <c r="D72" s="8"/>
      <c r="E72" s="8" t="s">
        <v>47</v>
      </c>
    </row>
    <row r="73" spans="1:5" ht="15.75" customHeight="1" x14ac:dyDescent="0.25">
      <c r="A73" s="6">
        <v>46440</v>
      </c>
      <c r="B73" s="7" t="s">
        <v>7</v>
      </c>
      <c r="C73" s="8" t="s">
        <v>8</v>
      </c>
      <c r="D73" s="8" t="s">
        <v>9</v>
      </c>
      <c r="E73" s="8"/>
    </row>
    <row r="74" spans="1:5" ht="15.75" customHeight="1" x14ac:dyDescent="0.25">
      <c r="A74" s="6">
        <v>46441</v>
      </c>
      <c r="B74" s="7"/>
      <c r="C74" s="8" t="s">
        <v>24</v>
      </c>
      <c r="D74" s="8"/>
      <c r="E74" s="8" t="s">
        <v>48</v>
      </c>
    </row>
    <row r="75" spans="1:5" ht="15.75" customHeight="1" x14ac:dyDescent="0.25">
      <c r="A75" s="6">
        <v>46444</v>
      </c>
      <c r="B75" s="7"/>
      <c r="C75" s="8" t="s">
        <v>29</v>
      </c>
      <c r="D75" s="8"/>
      <c r="E75" s="8" t="s">
        <v>47</v>
      </c>
    </row>
    <row r="76" spans="1:5" ht="15.75" customHeight="1" x14ac:dyDescent="0.25">
      <c r="A76" s="6">
        <v>46447</v>
      </c>
      <c r="B76" s="7" t="s">
        <v>7</v>
      </c>
      <c r="C76" s="8" t="s">
        <v>8</v>
      </c>
      <c r="D76" s="8" t="s">
        <v>9</v>
      </c>
      <c r="E76" s="8"/>
    </row>
    <row r="77" spans="1:5" ht="15.75" customHeight="1" x14ac:dyDescent="0.25">
      <c r="A77" s="6">
        <v>46448</v>
      </c>
      <c r="B77" s="7"/>
      <c r="C77" s="8" t="s">
        <v>24</v>
      </c>
      <c r="D77" s="8"/>
      <c r="E77" s="8" t="s">
        <v>49</v>
      </c>
    </row>
    <row r="78" spans="1:5" ht="15.75" customHeight="1" x14ac:dyDescent="0.25">
      <c r="A78" s="6">
        <v>46450</v>
      </c>
      <c r="B78" s="7"/>
      <c r="C78" s="8" t="s">
        <v>24</v>
      </c>
      <c r="D78" s="8"/>
      <c r="E78" s="8" t="s">
        <v>50</v>
      </c>
    </row>
    <row r="79" spans="1:5" ht="15.75" customHeight="1" x14ac:dyDescent="0.25">
      <c r="A79" s="6">
        <v>46451</v>
      </c>
      <c r="B79" s="7"/>
      <c r="C79" s="8" t="s">
        <v>29</v>
      </c>
      <c r="D79" s="8"/>
      <c r="E79" s="8" t="s">
        <v>47</v>
      </c>
    </row>
    <row r="80" spans="1:5" ht="15.75" customHeight="1" x14ac:dyDescent="0.25">
      <c r="A80" s="6">
        <v>46455</v>
      </c>
      <c r="B80" s="7"/>
      <c r="C80" s="8" t="s">
        <v>33</v>
      </c>
      <c r="D80" s="8"/>
      <c r="E80" s="8" t="s">
        <v>52</v>
      </c>
    </row>
    <row r="81" spans="1:5" ht="15.75" customHeight="1" x14ac:dyDescent="0.25">
      <c r="A81" s="6">
        <v>46458</v>
      </c>
      <c r="B81" s="7" t="s">
        <v>20</v>
      </c>
      <c r="C81" s="8" t="s">
        <v>21</v>
      </c>
      <c r="D81" s="8"/>
      <c r="E81" s="8"/>
    </row>
    <row r="82" spans="1:5" ht="15.75" customHeight="1" x14ac:dyDescent="0.25">
      <c r="A82" s="6">
        <v>46461</v>
      </c>
      <c r="B82" s="7" t="s">
        <v>7</v>
      </c>
      <c r="C82" s="8" t="s">
        <v>8</v>
      </c>
      <c r="D82" s="8" t="s">
        <v>9</v>
      </c>
      <c r="E82" s="8"/>
    </row>
    <row r="83" spans="1:5" ht="15.75" customHeight="1" x14ac:dyDescent="0.25">
      <c r="A83" s="6">
        <v>46462</v>
      </c>
      <c r="B83" s="7" t="s">
        <v>23</v>
      </c>
      <c r="C83" s="8" t="s">
        <v>24</v>
      </c>
      <c r="D83" s="8"/>
      <c r="E83" s="8"/>
    </row>
    <row r="84" spans="1:5" ht="15.75" customHeight="1" x14ac:dyDescent="0.25">
      <c r="A84" s="6">
        <v>46465</v>
      </c>
      <c r="B84" s="7" t="s">
        <v>20</v>
      </c>
      <c r="C84" s="8" t="s">
        <v>21</v>
      </c>
      <c r="D84" s="8"/>
      <c r="E84" s="8"/>
    </row>
    <row r="85" spans="1:5" ht="15.75" customHeight="1" x14ac:dyDescent="0.25">
      <c r="A85" s="6">
        <v>46468</v>
      </c>
      <c r="B85" s="7" t="s">
        <v>7</v>
      </c>
      <c r="C85" s="8" t="s">
        <v>8</v>
      </c>
      <c r="D85" s="8" t="s">
        <v>9</v>
      </c>
      <c r="E85" s="8"/>
    </row>
    <row r="86" spans="1:5" ht="15.75" customHeight="1" x14ac:dyDescent="0.25">
      <c r="A86" s="6">
        <v>46469</v>
      </c>
      <c r="B86" s="7" t="s">
        <v>23</v>
      </c>
      <c r="C86" s="8" t="s">
        <v>24</v>
      </c>
      <c r="D86" s="8"/>
      <c r="E86" s="8"/>
    </row>
    <row r="87" spans="1:5" ht="15.75" customHeight="1" x14ac:dyDescent="0.25">
      <c r="A87" s="6">
        <v>46472</v>
      </c>
      <c r="B87" s="7"/>
      <c r="C87" s="8" t="s">
        <v>29</v>
      </c>
      <c r="D87" s="8"/>
      <c r="E87" s="8"/>
    </row>
    <row r="88" spans="1:5" ht="15.75" customHeight="1" x14ac:dyDescent="0.25">
      <c r="A88" s="6">
        <v>46476</v>
      </c>
      <c r="B88" s="7"/>
      <c r="C88" s="8" t="s">
        <v>33</v>
      </c>
      <c r="D88" s="8"/>
      <c r="E88" s="8" t="s">
        <v>53</v>
      </c>
    </row>
    <row r="89" spans="1:5" ht="15.75" customHeight="1" x14ac:dyDescent="0.25">
      <c r="A89" s="6">
        <v>46479</v>
      </c>
      <c r="B89" s="7"/>
      <c r="C89" s="8" t="s">
        <v>29</v>
      </c>
      <c r="D89" s="8"/>
      <c r="E89" s="8" t="s">
        <v>54</v>
      </c>
    </row>
    <row r="90" spans="1:5" ht="15.75" customHeight="1" x14ac:dyDescent="0.25">
      <c r="A90" s="6">
        <v>46482</v>
      </c>
      <c r="B90" s="7" t="s">
        <v>7</v>
      </c>
      <c r="C90" s="8" t="s">
        <v>8</v>
      </c>
      <c r="D90" s="8" t="s">
        <v>9</v>
      </c>
      <c r="E90" s="8"/>
    </row>
    <row r="91" spans="1:5" ht="15.75" customHeight="1" x14ac:dyDescent="0.25">
      <c r="A91" s="6">
        <v>46483</v>
      </c>
      <c r="B91" s="7" t="s">
        <v>23</v>
      </c>
      <c r="C91" s="8" t="s">
        <v>24</v>
      </c>
      <c r="D91" s="8"/>
      <c r="E91" s="8"/>
    </row>
    <row r="92" spans="1:5" ht="15.75" customHeight="1" x14ac:dyDescent="0.25">
      <c r="A92" s="6">
        <v>46486</v>
      </c>
      <c r="B92" s="7" t="s">
        <v>20</v>
      </c>
      <c r="C92" s="8" t="s">
        <v>21</v>
      </c>
      <c r="D92" s="8"/>
      <c r="E92" s="8"/>
    </row>
    <row r="93" spans="1:5" ht="15.75" customHeight="1" x14ac:dyDescent="0.25">
      <c r="A93" s="6">
        <v>46489</v>
      </c>
      <c r="B93" s="7" t="s">
        <v>7</v>
      </c>
      <c r="C93" s="8" t="s">
        <v>8</v>
      </c>
      <c r="D93" s="8" t="s">
        <v>9</v>
      </c>
      <c r="E93" s="8"/>
    </row>
    <row r="94" spans="1:5" ht="15.75" customHeight="1" x14ac:dyDescent="0.25">
      <c r="A94" s="6">
        <v>46490</v>
      </c>
      <c r="B94" s="7" t="s">
        <v>23</v>
      </c>
      <c r="C94" s="8" t="s">
        <v>24</v>
      </c>
      <c r="D94" s="8"/>
      <c r="E94" s="8"/>
    </row>
    <row r="95" spans="1:5" ht="15.75" customHeight="1" x14ac:dyDescent="0.25">
      <c r="A95" s="6">
        <v>46493</v>
      </c>
      <c r="B95" s="7" t="s">
        <v>20</v>
      </c>
      <c r="C95" s="8" t="s">
        <v>21</v>
      </c>
      <c r="D95" s="8"/>
      <c r="E95" s="8"/>
    </row>
    <row r="96" spans="1:5" ht="15.75" customHeight="1" x14ac:dyDescent="0.25">
      <c r="A96" s="6">
        <v>46496</v>
      </c>
      <c r="B96" s="7" t="s">
        <v>7</v>
      </c>
      <c r="C96" s="8" t="s">
        <v>8</v>
      </c>
      <c r="D96" s="8" t="s">
        <v>9</v>
      </c>
      <c r="E96" s="8"/>
    </row>
    <row r="97" spans="1:5" ht="15.75" customHeight="1" x14ac:dyDescent="0.25">
      <c r="A97" s="6">
        <v>46497</v>
      </c>
      <c r="B97" s="7" t="s">
        <v>23</v>
      </c>
      <c r="C97" s="8" t="s">
        <v>24</v>
      </c>
      <c r="D97" s="8"/>
      <c r="E97" s="8" t="s">
        <v>55</v>
      </c>
    </row>
    <row r="98" spans="1:5" ht="15.75" customHeight="1" x14ac:dyDescent="0.25">
      <c r="A98" s="6">
        <v>46500</v>
      </c>
      <c r="B98" s="7" t="s">
        <v>20</v>
      </c>
      <c r="C98" s="8" t="s">
        <v>21</v>
      </c>
      <c r="D98" s="8"/>
      <c r="E98" s="8"/>
    </row>
    <row r="99" spans="1:5" ht="15.75" customHeight="1" x14ac:dyDescent="0.25">
      <c r="A99" s="6">
        <v>46503</v>
      </c>
      <c r="B99" s="7" t="s">
        <v>7</v>
      </c>
      <c r="C99" s="8" t="s">
        <v>8</v>
      </c>
      <c r="D99" s="8" t="s">
        <v>9</v>
      </c>
      <c r="E99" s="8"/>
    </row>
    <row r="100" spans="1:5" ht="15.75" customHeight="1" x14ac:dyDescent="0.25">
      <c r="A100" s="6">
        <v>46504</v>
      </c>
      <c r="B100" s="7" t="s">
        <v>23</v>
      </c>
      <c r="C100" s="8" t="s">
        <v>24</v>
      </c>
      <c r="D100" s="8"/>
      <c r="E100" s="8"/>
    </row>
    <row r="101" spans="1:5" ht="15.75" customHeight="1" x14ac:dyDescent="0.25">
      <c r="A101" s="6">
        <v>46507</v>
      </c>
      <c r="B101" s="7" t="s">
        <v>20</v>
      </c>
      <c r="C101" s="8" t="s">
        <v>21</v>
      </c>
      <c r="D101" s="8"/>
      <c r="E101" s="8"/>
    </row>
    <row r="102" spans="1:5" ht="15.75" customHeight="1" x14ac:dyDescent="0.25">
      <c r="A102" s="6">
        <v>46510</v>
      </c>
      <c r="B102" s="7" t="s">
        <v>7</v>
      </c>
      <c r="C102" s="8" t="s">
        <v>8</v>
      </c>
      <c r="D102" s="8" t="s">
        <v>9</v>
      </c>
      <c r="E102" s="8"/>
    </row>
    <row r="103" spans="1:5" ht="15.75" customHeight="1" x14ac:dyDescent="0.25">
      <c r="A103" s="6">
        <v>46511</v>
      </c>
      <c r="B103" s="7" t="s">
        <v>23</v>
      </c>
      <c r="C103" s="8" t="s">
        <v>24</v>
      </c>
      <c r="D103" s="8"/>
      <c r="E103" s="8"/>
    </row>
    <row r="104" spans="1:5" ht="15.75" customHeight="1" x14ac:dyDescent="0.25">
      <c r="A104" s="6">
        <v>46514</v>
      </c>
      <c r="B104" s="7" t="s">
        <v>20</v>
      </c>
      <c r="C104" s="8" t="s">
        <v>21</v>
      </c>
      <c r="D104" s="8"/>
      <c r="E104" s="8"/>
    </row>
    <row r="105" spans="1:5" ht="15.75" customHeight="1" x14ac:dyDescent="0.25">
      <c r="A105" s="6">
        <v>46517</v>
      </c>
      <c r="B105" s="7" t="s">
        <v>7</v>
      </c>
      <c r="C105" s="8" t="s">
        <v>8</v>
      </c>
      <c r="D105" s="8" t="s">
        <v>9</v>
      </c>
      <c r="E105" s="8"/>
    </row>
    <row r="106" spans="1:5" ht="15.75" customHeight="1" x14ac:dyDescent="0.25">
      <c r="A106" s="6">
        <v>46518</v>
      </c>
      <c r="B106" s="7" t="s">
        <v>23</v>
      </c>
      <c r="C106" s="8" t="s">
        <v>24</v>
      </c>
      <c r="D106" s="8"/>
      <c r="E106" s="8"/>
    </row>
    <row r="107" spans="1:5" ht="15.75" customHeight="1" x14ac:dyDescent="0.25">
      <c r="A107" s="6">
        <v>46521</v>
      </c>
      <c r="B107" s="7" t="s">
        <v>20</v>
      </c>
      <c r="C107" s="8" t="s">
        <v>21</v>
      </c>
      <c r="D107" s="8"/>
      <c r="E107" s="8" t="s">
        <v>56</v>
      </c>
    </row>
    <row r="108" spans="1:5" ht="15.75" customHeight="1" x14ac:dyDescent="0.25">
      <c r="A108" s="6">
        <v>46525</v>
      </c>
      <c r="B108" s="7"/>
      <c r="C108" s="8" t="s">
        <v>33</v>
      </c>
      <c r="D108" s="8"/>
      <c r="E108" s="8" t="s">
        <v>57</v>
      </c>
    </row>
    <row r="109" spans="1:5" ht="15.75" customHeight="1" x14ac:dyDescent="0.25">
      <c r="A109" s="6">
        <v>46528</v>
      </c>
      <c r="B109" s="7" t="s">
        <v>20</v>
      </c>
      <c r="C109" s="8" t="s">
        <v>21</v>
      </c>
      <c r="D109" s="8"/>
      <c r="E109" s="8" t="s">
        <v>58</v>
      </c>
    </row>
    <row r="110" spans="1:5" ht="15.75" customHeight="1" x14ac:dyDescent="0.25">
      <c r="A110" s="6">
        <v>46531</v>
      </c>
      <c r="B110" s="7" t="s">
        <v>7</v>
      </c>
      <c r="C110" s="8" t="s">
        <v>8</v>
      </c>
      <c r="D110" s="8" t="s">
        <v>9</v>
      </c>
      <c r="E110" s="8"/>
    </row>
    <row r="111" spans="1:5" ht="15.75" customHeight="1" x14ac:dyDescent="0.25">
      <c r="A111" s="6">
        <v>46532</v>
      </c>
      <c r="B111" s="7" t="s">
        <v>23</v>
      </c>
      <c r="C111" s="8" t="s">
        <v>24</v>
      </c>
      <c r="D111" s="8"/>
      <c r="E111" s="8"/>
    </row>
    <row r="112" spans="1:5" ht="15.75" customHeight="1" x14ac:dyDescent="0.4">
      <c r="A112" s="13">
        <v>46535</v>
      </c>
      <c r="B112" s="14" t="s">
        <v>26</v>
      </c>
      <c r="C112" s="15" t="s">
        <v>27</v>
      </c>
      <c r="D112" s="16"/>
      <c r="E112" s="15" t="s">
        <v>56</v>
      </c>
    </row>
    <row r="113" spans="1:5" ht="15.75" customHeight="1" x14ac:dyDescent="0.25">
      <c r="A113" s="6">
        <v>46535</v>
      </c>
      <c r="B113" s="7" t="s">
        <v>20</v>
      </c>
      <c r="C113" s="8" t="s">
        <v>21</v>
      </c>
      <c r="D113" s="8"/>
      <c r="E113" s="8" t="s">
        <v>59</v>
      </c>
    </row>
    <row r="114" spans="1:5" ht="15.75" customHeight="1" x14ac:dyDescent="0.4">
      <c r="A114" s="13">
        <v>46536</v>
      </c>
      <c r="B114" s="14" t="s">
        <v>19</v>
      </c>
      <c r="C114" s="15" t="s">
        <v>27</v>
      </c>
      <c r="D114" s="16"/>
      <c r="E114" s="16"/>
    </row>
    <row r="115" spans="1:5" ht="15.75" customHeight="1" x14ac:dyDescent="0.4">
      <c r="A115" s="13">
        <v>46537</v>
      </c>
      <c r="B115" s="14" t="s">
        <v>28</v>
      </c>
      <c r="C115" s="15" t="s">
        <v>27</v>
      </c>
      <c r="D115" s="16"/>
      <c r="E115" s="15" t="s">
        <v>60</v>
      </c>
    </row>
    <row r="116" spans="1:5" ht="15.75" customHeight="1" x14ac:dyDescent="0.25">
      <c r="A116" s="6">
        <v>46539</v>
      </c>
      <c r="B116" s="7" t="s">
        <v>23</v>
      </c>
      <c r="C116" s="8" t="s">
        <v>24</v>
      </c>
      <c r="D116" s="8"/>
      <c r="E116" s="8"/>
    </row>
    <row r="117" spans="1:5" ht="15.75" customHeight="1" x14ac:dyDescent="0.25">
      <c r="A117" s="6">
        <v>46542</v>
      </c>
      <c r="B117" s="7" t="s">
        <v>20</v>
      </c>
      <c r="C117" s="8" t="s">
        <v>21</v>
      </c>
      <c r="D117" s="8"/>
      <c r="E117" s="8" t="s">
        <v>61</v>
      </c>
    </row>
  </sheetData>
  <autoFilter ref="A1:E117" xr:uid="{00000000-0009-0000-0000-000000000000}"/>
  <conditionalFormatting sqref="A2:E117">
    <cfRule type="expression" dxfId="5" priority="1">
      <formula>$C2="Dhulfiqār Scouting Program"</formula>
    </cfRule>
    <cfRule type="expression" dxfId="4" priority="2">
      <formula>$C2="no Dhulfiqār Scouting Program"</formula>
    </cfRule>
    <cfRule type="expression" dxfId="3" priority="3">
      <formula>$C2="no Dhulfiqār youth Program"</formula>
    </cfRule>
    <cfRule type="expression" dxfId="2" priority="4">
      <formula>$C2="Dhulfiqār Leader Meeting (EC or GA)"</formula>
    </cfRule>
    <cfRule type="expression" dxfId="1" priority="5">
      <formula>$C2="Dhulfiqār Youth Program"</formula>
    </cfRule>
    <cfRule type="expression" dxfId="0" priority="6">
      <formula>COUNTIF($C2,"*Camp*")&gt;0</formula>
    </cfRule>
  </conditionalFormatting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6"/>
  <sheetViews>
    <sheetView tabSelected="1" workbookViewId="0"/>
  </sheetViews>
  <sheetFormatPr defaultColWidth="14.42578125" defaultRowHeight="15" customHeight="1" x14ac:dyDescent="0.25"/>
  <cols>
    <col min="1" max="1" width="9.5703125" customWidth="1"/>
    <col min="2" max="2" width="68.85546875" customWidth="1"/>
    <col min="3" max="3" width="8" customWidth="1"/>
    <col min="4" max="4" width="8.7109375" customWidth="1"/>
  </cols>
  <sheetData>
    <row r="2" spans="2:3" x14ac:dyDescent="0.25">
      <c r="B2" s="1" t="s">
        <v>0</v>
      </c>
      <c r="C2" s="3" t="s">
        <v>2</v>
      </c>
    </row>
    <row r="3" spans="2:3" ht="16.5" x14ac:dyDescent="0.35">
      <c r="B3" s="9" t="str">
        <f ca="1">IFERROR(__xludf.DUMMYFUNCTION("SORT(UNIQUE(FILTER(Calendar!C2:C16,Calendar!C2:C16&lt;&gt;"""")))"),"Dhulfiqār Leader Meeting (EC or GA)")</f>
        <v>Dhulfiqār Leader Meeting (EC or GA)</v>
      </c>
      <c r="C3" s="11">
        <f ca="1">COUNTIF(Calendar!C:C,B3)</f>
        <v>29</v>
      </c>
    </row>
    <row r="4" spans="2:3" ht="16.5" x14ac:dyDescent="0.35">
      <c r="B4" s="9" t="str">
        <f ca="1">IFERROR(__xludf.DUMMYFUNCTION("""COMPUTED_VALUE"""),"Dhulfiqār Parent-Leader Conferences")</f>
        <v>Dhulfiqār Parent-Leader Conferences</v>
      </c>
      <c r="C4" s="11">
        <f ca="1">COUNTIF(Calendar!C:C,B4)</f>
        <v>1</v>
      </c>
    </row>
    <row r="5" spans="2:3" ht="16.5" x14ac:dyDescent="0.35">
      <c r="B5" s="9" t="str">
        <f ca="1">IFERROR(__xludf.DUMMYFUNCTION("""COMPUTED_VALUE"""),"Dhulfiqār Scout Camp")</f>
        <v>Dhulfiqār Scout Camp</v>
      </c>
      <c r="C5" s="11">
        <f ca="1">COUNTIF(Calendar!C:C,B5)</f>
        <v>9</v>
      </c>
    </row>
    <row r="6" spans="2:3" ht="16.5" x14ac:dyDescent="0.35">
      <c r="B6" s="9" t="str">
        <f ca="1">IFERROR(__xludf.DUMMYFUNCTION("""COMPUTED_VALUE"""),"Dhulfiqār Scouting Program")</f>
        <v>Dhulfiqār Scouting Program</v>
      </c>
      <c r="C6" s="11">
        <f ca="1">COUNTIF(Calendar!C:C,B6)</f>
        <v>25</v>
      </c>
    </row>
    <row r="7" spans="2:3" ht="16.5" x14ac:dyDescent="0.35">
      <c r="B7" s="9" t="str">
        <f ca="1">IFERROR(__xludf.DUMMYFUNCTION("""COMPUTED_VALUE"""),"Dhulfiqār Youth Program")</f>
        <v>Dhulfiqār Youth Program</v>
      </c>
      <c r="C7" s="11">
        <f ca="1">COUNTIF(Calendar!C:C,B7)</f>
        <v>28</v>
      </c>
    </row>
    <row r="8" spans="2:3" ht="16.5" x14ac:dyDescent="0.35">
      <c r="B8" s="9" t="str">
        <f ca="1">IFERROR(__xludf.DUMMYFUNCTION("""COMPUTED_VALUE"""),"Leader Orientation")</f>
        <v>Leader Orientation</v>
      </c>
      <c r="C8" s="11">
        <f ca="1">COUNTIF(Calendar!C:C,B8)</f>
        <v>1</v>
      </c>
    </row>
    <row r="9" spans="2:3" ht="16.5" x14ac:dyDescent="0.35">
      <c r="B9" s="9" t="str">
        <f ca="1">IFERROR(__xludf.DUMMYFUNCTION("""COMPUTED_VALUE"""),"Leader Retreat/Camp")</f>
        <v>Leader Retreat/Camp</v>
      </c>
      <c r="C9" s="11">
        <f ca="1">COUNTIF(Calendar!C:C,B9)</f>
        <v>3</v>
      </c>
    </row>
    <row r="10" spans="2:3" ht="16.5" x14ac:dyDescent="0.35">
      <c r="B10" s="9" t="str">
        <f ca="1">IFERROR(__xludf.DUMMYFUNCTION("""COMPUTED_VALUE"""),"Merit Badge Mania")</f>
        <v>Merit Badge Mania</v>
      </c>
      <c r="C10" s="11">
        <f ca="1">COUNTIF(Calendar!C:C,B10)</f>
        <v>1</v>
      </c>
    </row>
    <row r="11" spans="2:3" ht="16.5" x14ac:dyDescent="0.35">
      <c r="B11" s="9" t="str">
        <f ca="1">IFERROR(__xludf.DUMMYFUNCTION("""COMPUTED_VALUE"""),"NO Dhulfiqār Scouting Program")</f>
        <v>NO Dhulfiqār Scouting Program</v>
      </c>
      <c r="C11" s="11">
        <f ca="1">COUNTIF(Calendar!C:C,B11)</f>
        <v>9</v>
      </c>
    </row>
    <row r="12" spans="2:3" ht="16.5" x14ac:dyDescent="0.35">
      <c r="B12" s="9" t="str">
        <f ca="1">IFERROR(__xludf.DUMMYFUNCTION("""COMPUTED_VALUE"""),"NO Dhulfiqār Youth Program")</f>
        <v>NO Dhulfiqār Youth Program</v>
      </c>
      <c r="C12" s="11">
        <f ca="1">COUNTIF(Calendar!C:C,B12)</f>
        <v>8</v>
      </c>
    </row>
    <row r="13" spans="2:3" ht="16.5" x14ac:dyDescent="0.35">
      <c r="B13" s="9" t="str">
        <f ca="1">IFERROR(__xludf.DUMMYFUNCTION("""COMPUTED_VALUE"""),"Onsite Uniform Ordering &amp; BSA Applications")</f>
        <v>Onsite Uniform Ordering &amp; BSA Applications</v>
      </c>
      <c r="C13" s="11">
        <f ca="1">COUNTIF(Calendar!C:C,B13)</f>
        <v>1</v>
      </c>
    </row>
    <row r="14" spans="2:3" ht="15.75" customHeight="1" x14ac:dyDescent="0.25">
      <c r="B14" s="12" t="str">
        <f ca="1">IFERROR(__xludf.DUMMYFUNCTION("""COMPUTED_VALUE"""),"Parent Open House")</f>
        <v>Parent Open House</v>
      </c>
    </row>
    <row r="15" spans="2:3" ht="15.75" customHeight="1" x14ac:dyDescent="0.25">
      <c r="B15" s="1" t="s">
        <v>51</v>
      </c>
      <c r="C15" s="1"/>
    </row>
    <row r="16" spans="2:3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 A. Issa</cp:lastModifiedBy>
  <dcterms:modified xsi:type="dcterms:W3CDTF">2026-09-09T04:18:11Z</dcterms:modified>
</cp:coreProperties>
</file>